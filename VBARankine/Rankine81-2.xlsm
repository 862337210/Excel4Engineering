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cesssimulation\ThermoCycle\ExcelVBA\"/>
    </mc:Choice>
  </mc:AlternateContent>
  <bookViews>
    <workbookView xWindow="0" yWindow="0" windowWidth="20490" windowHeight="7440"/>
  </bookViews>
  <sheets>
    <sheet name="Rankine81" sheetId="1" r:id="rId1"/>
    <sheet name="Rankine81-Node" sheetId="2" r:id="rId2"/>
    <sheet name="Rankine81-Device" sheetId="3" r:id="rId3"/>
    <sheet name="Rankine81-Result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8" i="1" l="1"/>
  <c r="B17" i="1" l="1"/>
  <c r="B16" i="1"/>
  <c r="G17" i="1"/>
  <c r="G16" i="1"/>
  <c r="G3" i="1"/>
  <c r="G2" i="1"/>
  <c r="B2" i="1"/>
  <c r="B3" i="1"/>
</calcChain>
</file>

<file path=xl/sharedStrings.xml><?xml version="1.0" encoding="utf-8"?>
<sst xmlns="http://schemas.openxmlformats.org/spreadsheetml/2006/main" count="33" uniqueCount="33">
  <si>
    <t>NAME</t>
    <phoneticPr fontId="1" type="noConversion"/>
  </si>
  <si>
    <t>Main Steam</t>
    <phoneticPr fontId="1" type="noConversion"/>
  </si>
  <si>
    <t>Outlet Steam of HP</t>
    <phoneticPr fontId="1" type="noConversion"/>
  </si>
  <si>
    <t>Condenser Water</t>
    <phoneticPr fontId="1" type="noConversion"/>
  </si>
  <si>
    <t>Main FeedWater</t>
    <phoneticPr fontId="1" type="noConversion"/>
  </si>
  <si>
    <t>NID</t>
    <phoneticPr fontId="1" type="noConversion"/>
  </si>
  <si>
    <t>p</t>
    <phoneticPr fontId="1" type="noConversion"/>
  </si>
  <si>
    <t>t</t>
    <phoneticPr fontId="1" type="noConversion"/>
  </si>
  <si>
    <t>x</t>
    <phoneticPr fontId="1" type="noConversion"/>
  </si>
  <si>
    <t>NAME</t>
    <phoneticPr fontId="1" type="noConversion"/>
  </si>
  <si>
    <t>TYPE</t>
    <phoneticPr fontId="1" type="noConversion"/>
  </si>
  <si>
    <t>TURBINE</t>
    <phoneticPr fontId="1" type="noConversion"/>
  </si>
  <si>
    <t>CONDENSER</t>
    <phoneticPr fontId="1" type="noConversion"/>
  </si>
  <si>
    <t>PUMP</t>
    <phoneticPr fontId="1" type="noConversion"/>
  </si>
  <si>
    <t>BOILER</t>
    <phoneticPr fontId="1" type="noConversion"/>
  </si>
  <si>
    <t>NODES</t>
    <phoneticPr fontId="1" type="noConversion"/>
  </si>
  <si>
    <t>Turbine</t>
    <phoneticPr fontId="1" type="noConversion"/>
  </si>
  <si>
    <t>Condenser</t>
    <phoneticPr fontId="1" type="noConversion"/>
  </si>
  <si>
    <t>Pump</t>
    <phoneticPr fontId="1" type="noConversion"/>
  </si>
  <si>
    <t>Boiler</t>
    <phoneticPr fontId="1" type="noConversion"/>
  </si>
  <si>
    <t>ITEM</t>
    <phoneticPr fontId="1" type="noConversion"/>
  </si>
  <si>
    <t>VALUE</t>
    <phoneticPr fontId="1" type="noConversion"/>
  </si>
  <si>
    <t xml:space="preserve">back work ratio </t>
    <phoneticPr fontId="1" type="noConversion"/>
  </si>
  <si>
    <t xml:space="preserve">mass flow rate of the steam </t>
    <phoneticPr fontId="1" type="noConversion"/>
  </si>
  <si>
    <t>The Ideal Rankine Cycle</t>
    <phoneticPr fontId="1" type="noConversion"/>
  </si>
  <si>
    <t>定功率(MW)</t>
    <phoneticPr fontId="1" type="noConversion"/>
  </si>
  <si>
    <t>Net Output Power</t>
    <phoneticPr fontId="1" type="noConversion"/>
  </si>
  <si>
    <t>UNIT</t>
    <phoneticPr fontId="1" type="noConversion"/>
  </si>
  <si>
    <t>MW</t>
    <phoneticPr fontId="1" type="noConversion"/>
  </si>
  <si>
    <t>%</t>
    <phoneticPr fontId="1" type="noConversion"/>
  </si>
  <si>
    <t>%</t>
    <phoneticPr fontId="1" type="noConversion"/>
  </si>
  <si>
    <t>kg/h</t>
    <phoneticPr fontId="1" type="noConversion"/>
  </si>
  <si>
    <t>The thermal 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</si>
</sst>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 indent="2"/>
    </xf>
    <xf numFmtId="176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47626</xdr:rowOff>
    </xdr:from>
    <xdr:to>
      <xdr:col>2</xdr:col>
      <xdr:colOff>38100</xdr:colOff>
      <xdr:row>12</xdr:row>
      <xdr:rowOff>95250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4850" y="1133476"/>
          <a:ext cx="885825" cy="113347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>
            <a:ln>
              <a:solidFill>
                <a:srgbClr val="FFFF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5</xdr:col>
      <xdr:colOff>609600</xdr:colOff>
      <xdr:row>7</xdr:row>
      <xdr:rowOff>66675</xdr:rowOff>
    </xdr:from>
    <xdr:ext cx="184731" cy="264560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038600" y="133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1</xdr:col>
      <xdr:colOff>461962</xdr:colOff>
      <xdr:row>5</xdr:row>
      <xdr:rowOff>12</xdr:rowOff>
    </xdr:from>
    <xdr:to>
      <xdr:col>3</xdr:col>
      <xdr:colOff>4</xdr:colOff>
      <xdr:row>6</xdr:row>
      <xdr:rowOff>47627</xdr:rowOff>
    </xdr:to>
    <xdr:cxnSp macro="">
      <xdr:nvCxnSpPr>
        <xdr:cNvPr id="5" name="连接符: 肘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stCxn id="2" idx="0"/>
        </xdr:cNvCxnSpPr>
      </xdr:nvCxnSpPr>
      <xdr:spPr>
        <a:xfrm rot="5400000" flipH="1" flipV="1">
          <a:off x="1578776" y="473873"/>
          <a:ext cx="228590" cy="1090617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5</xdr:row>
      <xdr:rowOff>0</xdr:rowOff>
    </xdr:from>
    <xdr:to>
      <xdr:col>6</xdr:col>
      <xdr:colOff>1352550</xdr:colOff>
      <xdr:row>7</xdr:row>
      <xdr:rowOff>9525</xdr:rowOff>
    </xdr:to>
    <xdr:cxnSp macro="">
      <xdr:nvCxnSpPr>
        <xdr:cNvPr id="31" name="连接符: 肘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endCxn id="32" idx="0"/>
        </xdr:cNvCxnSpPr>
      </xdr:nvCxnSpPr>
      <xdr:spPr>
        <a:xfrm>
          <a:off x="4314825" y="904875"/>
          <a:ext cx="1333500" cy="371475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952500</xdr:colOff>
      <xdr:row>7</xdr:row>
      <xdr:rowOff>9525</xdr:rowOff>
    </xdr:from>
    <xdr:to>
      <xdr:col>7</xdr:col>
      <xdr:colOff>390525</xdr:colOff>
      <xdr:row>12</xdr:row>
      <xdr:rowOff>38100</xdr:rowOff>
    </xdr:to>
    <xdr:sp macro="" textlink="">
      <xdr:nvSpPr>
        <xdr:cNvPr id="32" name="矩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248275" y="1276350"/>
          <a:ext cx="800100" cy="93345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342902</xdr:colOff>
      <xdr:row>12</xdr:row>
      <xdr:rowOff>38100</xdr:rowOff>
    </xdr:from>
    <xdr:to>
      <xdr:col>6</xdr:col>
      <xdr:colOff>1352551</xdr:colOff>
      <xdr:row>14</xdr:row>
      <xdr:rowOff>104775</xdr:rowOff>
    </xdr:to>
    <xdr:cxnSp macro="">
      <xdr:nvCxnSpPr>
        <xdr:cNvPr id="38" name="连接符: 肘形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stCxn id="32" idx="2"/>
          <a:endCxn id="4" idx="6"/>
        </xdr:cNvCxnSpPr>
      </xdr:nvCxnSpPr>
      <xdr:spPr>
        <a:xfrm rot="5400000">
          <a:off x="4243389" y="1233488"/>
          <a:ext cx="428625" cy="238124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461964</xdr:colOff>
      <xdr:row>12</xdr:row>
      <xdr:rowOff>95251</xdr:rowOff>
    </xdr:from>
    <xdr:to>
      <xdr:col>3</xdr:col>
      <xdr:colOff>323852</xdr:colOff>
      <xdr:row>14</xdr:row>
      <xdr:rowOff>104776</xdr:rowOff>
    </xdr:to>
    <xdr:cxnSp macro="">
      <xdr:nvCxnSpPr>
        <xdr:cNvPr id="40" name="连接符: 肘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stCxn id="4" idx="2"/>
          <a:endCxn id="2" idx="2"/>
        </xdr:cNvCxnSpPr>
      </xdr:nvCxnSpPr>
      <xdr:spPr>
        <a:xfrm rot="10800000">
          <a:off x="1147764" y="2266951"/>
          <a:ext cx="1414463" cy="37147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323851</xdr:colOff>
      <xdr:row>12</xdr:row>
      <xdr:rowOff>152400</xdr:rowOff>
    </xdr:from>
    <xdr:to>
      <xdr:col>4</xdr:col>
      <xdr:colOff>342901</xdr:colOff>
      <xdr:row>16</xdr:row>
      <xdr:rowOff>57150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62226" y="2324100"/>
          <a:ext cx="704850" cy="628650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4767</xdr:colOff>
      <xdr:row>1</xdr:row>
      <xdr:rowOff>28572</xdr:rowOff>
    </xdr:from>
    <xdr:to>
      <xdr:col>6</xdr:col>
      <xdr:colOff>0</xdr:colOff>
      <xdr:row>8</xdr:row>
      <xdr:rowOff>161918</xdr:rowOff>
    </xdr:to>
    <xdr:sp macro="" textlink="">
      <xdr:nvSpPr>
        <xdr:cNvPr id="20" name="梯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16200000">
          <a:off x="2569373" y="-116684"/>
          <a:ext cx="1400171" cy="2052633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</xdr:row>
          <xdr:rowOff>123825</xdr:rowOff>
        </xdr:from>
        <xdr:to>
          <xdr:col>10</xdr:col>
          <xdr:colOff>600075</xdr:colOff>
          <xdr:row>4</xdr:row>
          <xdr:rowOff>0</xdr:rowOff>
        </xdr:to>
        <xdr:sp macro="" textlink="">
          <xdr:nvSpPr>
            <xdr:cNvPr id="1026" name="SimCmd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7"/>
  <sheetViews>
    <sheetView tabSelected="1" workbookViewId="0">
      <selection activeCell="I16" sqref="I16"/>
    </sheetView>
  </sheetViews>
  <sheetFormatPr defaultRowHeight="14.25" x14ac:dyDescent="0.2"/>
  <cols>
    <col min="2" max="2" width="11.375" bestFit="1" customWidth="1"/>
    <col min="7" max="7" width="17.875" bestFit="1" customWidth="1"/>
    <col min="9" max="9" width="11.625" bestFit="1" customWidth="1"/>
  </cols>
  <sheetData>
    <row r="1" spans="1:12" ht="33.75" customHeight="1" x14ac:dyDescent="0.2">
      <c r="A1" s="6" t="s">
        <v>24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x14ac:dyDescent="0.2">
      <c r="B2" t="str">
        <f>'Rankine81-Node'!A2</f>
        <v>Main Steam</v>
      </c>
      <c r="G2" t="str">
        <f>'Rankine81-Node'!A3</f>
        <v>Outlet Steam of HP</v>
      </c>
      <c r="I2" s="1" t="s">
        <v>25</v>
      </c>
    </row>
    <row r="3" spans="1:12" x14ac:dyDescent="0.2">
      <c r="B3">
        <f>'Rankine81-Node'!C2</f>
        <v>8</v>
      </c>
      <c r="G3">
        <f>'Rankine81-Node'!C3</f>
        <v>8.0000000000000002E-3</v>
      </c>
      <c r="I3">
        <v>102</v>
      </c>
    </row>
    <row r="8" spans="1:12" x14ac:dyDescent="0.2">
      <c r="I8">
        <f>'Rankine81-Results'!C3</f>
        <v>37.08132409492427</v>
      </c>
    </row>
    <row r="9" spans="1:12" x14ac:dyDescent="0.2">
      <c r="I9">
        <f>'Rankine81-Results'!C5</f>
        <v>384311.7382841091</v>
      </c>
    </row>
    <row r="16" spans="1:12" x14ac:dyDescent="0.2">
      <c r="B16" t="str">
        <f>'Rankine81-Node'!A5</f>
        <v>Main FeedWater</v>
      </c>
      <c r="G16" t="str">
        <f>'Rankine81-Node'!A4</f>
        <v>Condenser Water</v>
      </c>
    </row>
    <row r="17" spans="2:7" x14ac:dyDescent="0.2">
      <c r="B17">
        <f>'Rankine81-Node'!C5</f>
        <v>8</v>
      </c>
      <c r="G17">
        <f>'Rankine81-Node'!C4</f>
        <v>8.0000000000000002E-3</v>
      </c>
    </row>
  </sheetData>
  <mergeCells count="1">
    <mergeCell ref="A1:L1"/>
  </mergeCells>
  <phoneticPr fontId="1" type="noConversion"/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026" r:id="rId3" name="SimCmdBtn">
          <controlPr defaultSize="0" autoLine="0" r:id="rId4">
            <anchor moveWithCells="1">
              <from>
                <xdr:col>9</xdr:col>
                <xdr:colOff>247650</xdr:colOff>
                <xdr:row>1</xdr:row>
                <xdr:rowOff>123825</xdr:rowOff>
              </from>
              <to>
                <xdr:col>10</xdr:col>
                <xdr:colOff>600075</xdr:colOff>
                <xdr:row>4</xdr:row>
                <xdr:rowOff>0</xdr:rowOff>
              </to>
            </anchor>
          </controlPr>
        </control>
      </mc:Choice>
      <mc:Fallback>
        <control shapeId="1026" r:id="rId3" name="Sim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"/>
  <sheetViews>
    <sheetView workbookViewId="0">
      <selection activeCell="C16" sqref="C16"/>
    </sheetView>
  </sheetViews>
  <sheetFormatPr defaultRowHeight="14.25" x14ac:dyDescent="0.2"/>
  <cols>
    <col min="1" max="1" width="25.5" style="3" bestFit="1" customWidth="1"/>
    <col min="2" max="2" width="4.875" style="3" bestFit="1" customWidth="1"/>
    <col min="3" max="4" width="9" style="3"/>
    <col min="5" max="5" width="6.25" style="3" customWidth="1"/>
  </cols>
  <sheetData>
    <row r="1" spans="1:5" s="2" customFormat="1" x14ac:dyDescent="0.2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</row>
    <row r="2" spans="1:5" x14ac:dyDescent="0.2">
      <c r="A2" s="4" t="s">
        <v>1</v>
      </c>
      <c r="B2" s="3">
        <v>0</v>
      </c>
      <c r="C2" s="3">
        <v>8</v>
      </c>
      <c r="E2" s="3">
        <v>1</v>
      </c>
    </row>
    <row r="3" spans="1:5" x14ac:dyDescent="0.2">
      <c r="A3" s="4" t="s">
        <v>2</v>
      </c>
      <c r="B3" s="3">
        <v>1</v>
      </c>
      <c r="C3" s="3">
        <v>8.0000000000000002E-3</v>
      </c>
    </row>
    <row r="4" spans="1:5" x14ac:dyDescent="0.2">
      <c r="A4" s="4" t="s">
        <v>3</v>
      </c>
      <c r="B4" s="3">
        <v>2</v>
      </c>
      <c r="C4" s="3">
        <v>8.0000000000000002E-3</v>
      </c>
      <c r="E4" s="3">
        <v>0</v>
      </c>
    </row>
    <row r="5" spans="1:5" x14ac:dyDescent="0.2">
      <c r="A5" s="4" t="s">
        <v>4</v>
      </c>
      <c r="B5" s="3">
        <v>3</v>
      </c>
      <c r="C5" s="3">
        <v>8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workbookViewId="0">
      <selection activeCell="G9" sqref="G9"/>
    </sheetView>
  </sheetViews>
  <sheetFormatPr defaultRowHeight="14.25" x14ac:dyDescent="0.2"/>
  <cols>
    <col min="1" max="1" width="13.625" bestFit="1" customWidth="1"/>
    <col min="2" max="2" width="15.875" bestFit="1" customWidth="1"/>
    <col min="3" max="3" width="7.5" bestFit="1" customWidth="1"/>
    <col min="4" max="4" width="8.125" customWidth="1"/>
  </cols>
  <sheetData>
    <row r="1" spans="1:4" s="2" customFormat="1" ht="20.25" customHeight="1" x14ac:dyDescent="0.2">
      <c r="A1" s="2" t="s">
        <v>9</v>
      </c>
      <c r="B1" s="2" t="s">
        <v>10</v>
      </c>
      <c r="C1" s="2" t="s">
        <v>15</v>
      </c>
    </row>
    <row r="2" spans="1:4" x14ac:dyDescent="0.2">
      <c r="A2" s="4" t="s">
        <v>16</v>
      </c>
      <c r="B2" s="3" t="s">
        <v>11</v>
      </c>
      <c r="C2" s="3">
        <v>0</v>
      </c>
      <c r="D2" s="3">
        <v>1</v>
      </c>
    </row>
    <row r="3" spans="1:4" x14ac:dyDescent="0.2">
      <c r="A3" s="4" t="s">
        <v>17</v>
      </c>
      <c r="B3" s="3" t="s">
        <v>12</v>
      </c>
      <c r="C3" s="3">
        <v>1</v>
      </c>
      <c r="D3" s="3">
        <v>2</v>
      </c>
    </row>
    <row r="4" spans="1:4" x14ac:dyDescent="0.2">
      <c r="A4" s="4" t="s">
        <v>18</v>
      </c>
      <c r="B4" s="3" t="s">
        <v>13</v>
      </c>
      <c r="C4" s="3">
        <v>2</v>
      </c>
      <c r="D4" s="3">
        <v>3</v>
      </c>
    </row>
    <row r="5" spans="1:4" x14ac:dyDescent="0.2">
      <c r="A5" s="4" t="s">
        <v>19</v>
      </c>
      <c r="B5" s="3" t="s">
        <v>14</v>
      </c>
      <c r="C5" s="3">
        <v>3</v>
      </c>
      <c r="D5" s="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G16" sqref="G16"/>
    </sheetView>
  </sheetViews>
  <sheetFormatPr defaultRowHeight="14.25" x14ac:dyDescent="0.2"/>
  <cols>
    <col min="1" max="1" width="26.125" bestFit="1" customWidth="1"/>
    <col min="2" max="2" width="11.875" customWidth="1"/>
    <col min="3" max="3" width="16.625" customWidth="1"/>
  </cols>
  <sheetData>
    <row r="1" spans="1:4" ht="27" customHeight="1" x14ac:dyDescent="0.2">
      <c r="A1" s="2" t="s">
        <v>20</v>
      </c>
      <c r="B1" s="2" t="s">
        <v>27</v>
      </c>
      <c r="C1" s="2" t="s">
        <v>21</v>
      </c>
      <c r="D1" s="2"/>
    </row>
    <row r="2" spans="1:4" x14ac:dyDescent="0.2">
      <c r="A2" t="s">
        <v>26</v>
      </c>
      <c r="B2" s="5" t="s">
        <v>28</v>
      </c>
      <c r="C2" s="5">
        <v>102</v>
      </c>
    </row>
    <row r="3" spans="1:4" x14ac:dyDescent="0.2">
      <c r="A3" t="s">
        <v>32</v>
      </c>
      <c r="B3" s="5" t="s">
        <v>29</v>
      </c>
      <c r="C3" s="5">
        <v>37.08132409492427</v>
      </c>
    </row>
    <row r="4" spans="1:4" x14ac:dyDescent="0.2">
      <c r="A4" t="s">
        <v>22</v>
      </c>
      <c r="B4" s="5" t="s">
        <v>30</v>
      </c>
      <c r="C4" s="5">
        <v>0.83647440175257415</v>
      </c>
    </row>
    <row r="5" spans="1:4" x14ac:dyDescent="0.2">
      <c r="A5" t="s">
        <v>23</v>
      </c>
      <c r="B5" s="5" t="s">
        <v>31</v>
      </c>
      <c r="C5" s="5">
        <v>384311.7382841091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Rankine81</vt:lpstr>
      <vt:lpstr>Rankine81-Node</vt:lpstr>
      <vt:lpstr>Rankine81-Device</vt:lpstr>
      <vt:lpstr>Rankine81-Results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2017-04-06T11:48:57Z</dcterms:created>
  <dcterms:modified xsi:type="dcterms:W3CDTF">2017-04-23T02:52:23Z</dcterms:modified>
</cp:coreProperties>
</file>