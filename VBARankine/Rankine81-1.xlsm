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830" codeName="{861861EC-F77C-3E69-5087-FD670AB338C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cesssimulation\ThermoCycle\ExcelVBA\"/>
    </mc:Choice>
  </mc:AlternateContent>
  <bookViews>
    <workbookView xWindow="0" yWindow="0" windowWidth="20490" windowHeight="7440"/>
  </bookViews>
  <sheets>
    <sheet name="Rankine81" sheetId="1" r:id="rId1"/>
    <sheet name="Rankine81-Node" sheetId="2" r:id="rId2"/>
    <sheet name="Rankine81-Device" sheetId="3" r:id="rId3"/>
    <sheet name="Rankine81-Results" sheetId="4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1" l="1"/>
  <c r="G16" i="1"/>
  <c r="I9" i="1" l="1"/>
  <c r="I7" i="1"/>
  <c r="G17" i="1"/>
  <c r="G8" i="1"/>
  <c r="B17" i="1"/>
  <c r="B3" i="1"/>
</calcChain>
</file>

<file path=xl/sharedStrings.xml><?xml version="1.0" encoding="utf-8"?>
<sst xmlns="http://schemas.openxmlformats.org/spreadsheetml/2006/main" count="42" uniqueCount="42">
  <si>
    <t>NAME</t>
    <phoneticPr fontId="1" type="noConversion"/>
  </si>
  <si>
    <t>Main Steam</t>
    <phoneticPr fontId="1" type="noConversion"/>
  </si>
  <si>
    <t>Outlet Steam of HP</t>
    <phoneticPr fontId="1" type="noConversion"/>
  </si>
  <si>
    <t>Condenser Water</t>
    <phoneticPr fontId="1" type="noConversion"/>
  </si>
  <si>
    <t>Main FeedWater</t>
    <phoneticPr fontId="1" type="noConversion"/>
  </si>
  <si>
    <t>NID</t>
    <phoneticPr fontId="1" type="noConversion"/>
  </si>
  <si>
    <t>p</t>
    <phoneticPr fontId="1" type="noConversion"/>
  </si>
  <si>
    <t>t</t>
    <phoneticPr fontId="1" type="noConversion"/>
  </si>
  <si>
    <t>x</t>
    <phoneticPr fontId="1" type="noConversion"/>
  </si>
  <si>
    <t>NAME</t>
    <phoneticPr fontId="1" type="noConversion"/>
  </si>
  <si>
    <t>TYPE</t>
    <phoneticPr fontId="1" type="noConversion"/>
  </si>
  <si>
    <t>TURBINE</t>
    <phoneticPr fontId="1" type="noConversion"/>
  </si>
  <si>
    <t>CONDENSER</t>
    <phoneticPr fontId="1" type="noConversion"/>
  </si>
  <si>
    <t>PUMP</t>
    <phoneticPr fontId="1" type="noConversion"/>
  </si>
  <si>
    <t>BOILER</t>
    <phoneticPr fontId="1" type="noConversion"/>
  </si>
  <si>
    <t>NODES</t>
    <phoneticPr fontId="1" type="noConversion"/>
  </si>
  <si>
    <t>Turbine</t>
    <phoneticPr fontId="1" type="noConversion"/>
  </si>
  <si>
    <t>Condenser</t>
    <phoneticPr fontId="1" type="noConversion"/>
  </si>
  <si>
    <t>Pump</t>
    <phoneticPr fontId="1" type="noConversion"/>
  </si>
  <si>
    <t>Boiler</t>
    <phoneticPr fontId="1" type="noConversion"/>
  </si>
  <si>
    <t>ITEM</t>
    <phoneticPr fontId="1" type="noConversion"/>
  </si>
  <si>
    <t>VALUE</t>
    <phoneticPr fontId="1" type="noConversion"/>
  </si>
  <si>
    <t xml:space="preserve">back work ratio </t>
    <phoneticPr fontId="1" type="noConversion"/>
  </si>
  <si>
    <t>Net Output Power</t>
    <phoneticPr fontId="1" type="noConversion"/>
  </si>
  <si>
    <t>UNIT</t>
    <phoneticPr fontId="1" type="noConversion"/>
  </si>
  <si>
    <t>MW</t>
    <phoneticPr fontId="1" type="noConversion"/>
  </si>
  <si>
    <t>%</t>
    <phoneticPr fontId="1" type="noConversion"/>
  </si>
  <si>
    <t>%</t>
    <phoneticPr fontId="1" type="noConversion"/>
  </si>
  <si>
    <t>kg/h</t>
    <phoneticPr fontId="1" type="noConversion"/>
  </si>
  <si>
    <t>The thermal efficiency</t>
    <phoneticPr fontId="1" type="noConversion"/>
  </si>
  <si>
    <t>POWER(MW)</t>
    <phoneticPr fontId="1" type="noConversion"/>
  </si>
  <si>
    <t>PLEASE INPUT：</t>
    <phoneticPr fontId="1" type="noConversion"/>
  </si>
  <si>
    <t>Thermal Efficiency(%)</t>
    <phoneticPr fontId="1" type="noConversion"/>
  </si>
  <si>
    <t>Qin(MW)</t>
    <phoneticPr fontId="1" type="noConversion"/>
  </si>
  <si>
    <t>The Ideal Rankine Cycle</t>
    <phoneticPr fontId="1" type="noConversion"/>
  </si>
  <si>
    <t xml:space="preserve"> </t>
    <phoneticPr fontId="1" type="noConversion"/>
  </si>
  <si>
    <t>Cheng Maohua
cmh@seu.edu.cn</t>
    <phoneticPr fontId="1" type="noConversion"/>
  </si>
  <si>
    <t xml:space="preserve">mass flow rate of the steam </t>
    <phoneticPr fontId="1" type="noConversion"/>
  </si>
  <si>
    <t xml:space="preserve">MassFlowRateSteam(kg/h) </t>
    <phoneticPr fontId="1" type="noConversion"/>
  </si>
  <si>
    <t xml:space="preserve"> Michael J . Mora. Fundamentals of Engineering Thermodynamics(7th Edition). John Wiley &amp; Sons, Inc. 2011     
Chapter 8 : Vapour Power Systems Example 8.1:Analyzing an Ideal Rankine Cycle  Page 438</t>
    <phoneticPr fontId="1" type="noConversion"/>
  </si>
  <si>
    <t>MainSteam</t>
  </si>
  <si>
    <t>MainFeedWater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</si>
</sst>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_ 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4"/>
      <color theme="1"/>
      <name val="Arial Black"/>
      <family val="2"/>
    </font>
    <font>
      <b/>
      <sz val="11"/>
      <color theme="1"/>
      <name val="Arial"/>
      <family val="2"/>
    </font>
    <font>
      <b/>
      <sz val="11"/>
      <color rgb="FFC00000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left" vertical="center" indent="2"/>
    </xf>
    <xf numFmtId="176" fontId="0" fillId="0" borderId="0" xfId="0" applyNumberForma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4" fillId="3" borderId="0" xfId="0" applyFont="1" applyFill="1" applyBorder="1" applyAlignment="1">
      <alignment horizontal="right" vertical="center"/>
    </xf>
    <xf numFmtId="0" fontId="4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76" fontId="4" fillId="3" borderId="0" xfId="0" applyNumberFormat="1" applyFont="1" applyFill="1" applyBorder="1">
      <alignment vertical="center"/>
    </xf>
    <xf numFmtId="0" fontId="0" fillId="5" borderId="0" xfId="0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ill="1" applyBorder="1" applyAlignment="1">
      <alignment horizontal="left" vertical="center" wrapText="1"/>
    </xf>
    <xf numFmtId="0" fontId="3" fillId="2" borderId="0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609600</xdr:colOff>
      <xdr:row>0</xdr:row>
      <xdr:rowOff>0</xdr:rowOff>
    </xdr:from>
    <xdr:ext cx="184731" cy="264560"/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038600" y="1333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zh-CN" altLang="en-US" sz="1100"/>
        </a:p>
      </xdr:txBody>
    </xdr:sp>
    <xdr:clientData/>
  </xdr:oneCellAnchor>
  <xdr:twoCellAnchor>
    <xdr:from>
      <xdr:col>1</xdr:col>
      <xdr:colOff>285750</xdr:colOff>
      <xdr:row>6</xdr:row>
      <xdr:rowOff>47626</xdr:rowOff>
    </xdr:from>
    <xdr:to>
      <xdr:col>2</xdr:col>
      <xdr:colOff>38100</xdr:colOff>
      <xdr:row>12</xdr:row>
      <xdr:rowOff>95250</xdr:rowOff>
    </xdr:to>
    <xdr:sp macro="" textlink="">
      <xdr:nvSpPr>
        <xdr:cNvPr id="43" name="矩形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971550" y="1552576"/>
          <a:ext cx="866775" cy="1171574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>
            <a:ln>
              <a:solidFill>
                <a:srgbClr val="FFFF00"/>
              </a:solidFill>
            </a:ln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5</xdr:col>
      <xdr:colOff>609600</xdr:colOff>
      <xdr:row>6</xdr:row>
      <xdr:rowOff>114300</xdr:rowOff>
    </xdr:from>
    <xdr:ext cx="184731" cy="264560"/>
    <xdr:sp macro="" textlink="">
      <xdr:nvSpPr>
        <xdr:cNvPr id="44" name="文本框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 txBox="1"/>
      </xdr:nvSpPr>
      <xdr:spPr>
        <a:xfrm>
          <a:off x="4467225" y="161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zh-CN" altLang="en-US" sz="1100"/>
        </a:p>
      </xdr:txBody>
    </xdr:sp>
    <xdr:clientData/>
  </xdr:oneCellAnchor>
  <xdr:twoCellAnchor>
    <xdr:from>
      <xdr:col>1</xdr:col>
      <xdr:colOff>771528</xdr:colOff>
      <xdr:row>2</xdr:row>
      <xdr:rowOff>38100</xdr:rowOff>
    </xdr:from>
    <xdr:to>
      <xdr:col>3</xdr:col>
      <xdr:colOff>38106</xdr:colOff>
      <xdr:row>6</xdr:row>
      <xdr:rowOff>57151</xdr:rowOff>
    </xdr:to>
    <xdr:cxnSp macro="">
      <xdr:nvCxnSpPr>
        <xdr:cNvPr id="45" name="连接符: 肘形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CxnSpPr/>
      </xdr:nvCxnSpPr>
      <xdr:spPr>
        <a:xfrm rot="5400000" flipH="1" flipV="1">
          <a:off x="1609729" y="647699"/>
          <a:ext cx="762001" cy="1066803"/>
        </a:xfrm>
        <a:prstGeom prst="bentConnector2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16166</xdr:colOff>
      <xdr:row>8</xdr:row>
      <xdr:rowOff>16910</xdr:rowOff>
    </xdr:from>
    <xdr:to>
      <xdr:col>6</xdr:col>
      <xdr:colOff>1352550</xdr:colOff>
      <xdr:row>9</xdr:row>
      <xdr:rowOff>28574</xdr:rowOff>
    </xdr:to>
    <xdr:cxnSp macro="">
      <xdr:nvCxnSpPr>
        <xdr:cNvPr id="46" name="连接符: 肘形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CxnSpPr>
          <a:stCxn id="44" idx="2"/>
          <a:endCxn id="47" idx="0"/>
        </xdr:cNvCxnSpPr>
      </xdr:nvCxnSpPr>
      <xdr:spPr>
        <a:xfrm rot="16200000" flipH="1">
          <a:off x="5126701" y="1335750"/>
          <a:ext cx="202164" cy="1336384"/>
        </a:xfrm>
        <a:prstGeom prst="bentConnector3">
          <a:avLst>
            <a:gd name="adj1" fmla="val 50000"/>
          </a:avLst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952500</xdr:colOff>
      <xdr:row>9</xdr:row>
      <xdr:rowOff>28574</xdr:rowOff>
    </xdr:from>
    <xdr:to>
      <xdr:col>7</xdr:col>
      <xdr:colOff>390525</xdr:colOff>
      <xdr:row>12</xdr:row>
      <xdr:rowOff>38099</xdr:rowOff>
    </xdr:to>
    <xdr:sp macro="" textlink="">
      <xdr:nvSpPr>
        <xdr:cNvPr id="47" name="矩形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5495925" y="2105024"/>
          <a:ext cx="800100" cy="561975"/>
        </a:xfrm>
        <a:prstGeom prst="rect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333563</xdr:colOff>
      <xdr:row>12</xdr:row>
      <xdr:rowOff>38098</xdr:rowOff>
    </xdr:from>
    <xdr:to>
      <xdr:col>6</xdr:col>
      <xdr:colOff>1353205</xdr:colOff>
      <xdr:row>13</xdr:row>
      <xdr:rowOff>72090</xdr:rowOff>
    </xdr:to>
    <xdr:cxnSp macro="">
      <xdr:nvCxnSpPr>
        <xdr:cNvPr id="48" name="连接符: 肘形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>
          <a:stCxn id="47" idx="2"/>
          <a:endCxn id="50" idx="6"/>
        </xdr:cNvCxnSpPr>
      </xdr:nvCxnSpPr>
      <xdr:spPr>
        <a:xfrm rot="5400000">
          <a:off x="4593525" y="1578861"/>
          <a:ext cx="214967" cy="2391242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717551</xdr:colOff>
      <xdr:row>12</xdr:row>
      <xdr:rowOff>95250</xdr:rowOff>
    </xdr:from>
    <xdr:to>
      <xdr:col>3</xdr:col>
      <xdr:colOff>314513</xdr:colOff>
      <xdr:row>13</xdr:row>
      <xdr:rowOff>72091</xdr:rowOff>
    </xdr:to>
    <xdr:cxnSp macro="">
      <xdr:nvCxnSpPr>
        <xdr:cNvPr id="49" name="连接符: 肘形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CxnSpPr>
          <a:stCxn id="50" idx="2"/>
          <a:endCxn id="43" idx="2"/>
        </xdr:cNvCxnSpPr>
      </xdr:nvCxnSpPr>
      <xdr:spPr>
        <a:xfrm rot="10800000">
          <a:off x="1403351" y="2724150"/>
          <a:ext cx="1397187" cy="157816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314512</xdr:colOff>
      <xdr:row>11</xdr:row>
      <xdr:rowOff>115047</xdr:rowOff>
    </xdr:from>
    <xdr:to>
      <xdr:col>4</xdr:col>
      <xdr:colOff>333562</xdr:colOff>
      <xdr:row>15</xdr:row>
      <xdr:rowOff>29135</xdr:rowOff>
    </xdr:to>
    <xdr:sp macro="" textlink="">
      <xdr:nvSpPr>
        <xdr:cNvPr id="50" name="椭圆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2800537" y="2562972"/>
          <a:ext cx="704850" cy="637988"/>
        </a:xfrm>
        <a:prstGeom prst="ellips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33343</xdr:colOff>
      <xdr:row>0</xdr:row>
      <xdr:rowOff>438147</xdr:rowOff>
    </xdr:from>
    <xdr:to>
      <xdr:col>6</xdr:col>
      <xdr:colOff>28576</xdr:colOff>
      <xdr:row>7</xdr:row>
      <xdr:rowOff>180968</xdr:rowOff>
    </xdr:to>
    <xdr:sp macro="" textlink="">
      <xdr:nvSpPr>
        <xdr:cNvPr id="51" name="梯形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 rot="16200000">
          <a:off x="2826549" y="130966"/>
          <a:ext cx="1438271" cy="2052633"/>
        </a:xfrm>
        <a:prstGeom prst="trapezoid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7</xdr:col>
      <xdr:colOff>361951</xdr:colOff>
      <xdr:row>9</xdr:row>
      <xdr:rowOff>152399</xdr:rowOff>
    </xdr:from>
    <xdr:to>
      <xdr:col>8</xdr:col>
      <xdr:colOff>252151</xdr:colOff>
      <xdr:row>9</xdr:row>
      <xdr:rowOff>152399</xdr:rowOff>
    </xdr:to>
    <xdr:cxnSp macro="">
      <xdr:nvCxnSpPr>
        <xdr:cNvPr id="52" name="直接箭头连接符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CxnSpPr/>
      </xdr:nvCxnSpPr>
      <xdr:spPr>
        <a:xfrm flipH="1">
          <a:off x="6267451" y="2228849"/>
          <a:ext cx="909375" cy="0"/>
        </a:xfrm>
        <a:prstGeom prst="straightConnector1">
          <a:avLst/>
        </a:prstGeom>
        <a:ln w="28575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409575</xdr:colOff>
      <xdr:row>11</xdr:row>
      <xdr:rowOff>123825</xdr:rowOff>
    </xdr:from>
    <xdr:to>
      <xdr:col>8</xdr:col>
      <xdr:colOff>304800</xdr:colOff>
      <xdr:row>11</xdr:row>
      <xdr:rowOff>133351</xdr:rowOff>
    </xdr:to>
    <xdr:cxnSp macro="">
      <xdr:nvCxnSpPr>
        <xdr:cNvPr id="53" name="直接箭头连接符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CxnSpPr/>
      </xdr:nvCxnSpPr>
      <xdr:spPr>
        <a:xfrm flipV="1">
          <a:off x="6315075" y="2571750"/>
          <a:ext cx="914400" cy="9526"/>
        </a:xfrm>
        <a:prstGeom prst="straightConnector1">
          <a:avLst/>
        </a:prstGeom>
        <a:ln w="28575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28577</xdr:colOff>
      <xdr:row>4</xdr:row>
      <xdr:rowOff>19045</xdr:rowOff>
    </xdr:from>
    <xdr:to>
      <xdr:col>6</xdr:col>
      <xdr:colOff>1257300</xdr:colOff>
      <xdr:row>4</xdr:row>
      <xdr:rowOff>19050</xdr:rowOff>
    </xdr:to>
    <xdr:cxnSp macro="">
      <xdr:nvCxnSpPr>
        <xdr:cNvPr id="54" name="直接连接符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CxnSpPr>
          <a:stCxn id="51" idx="2"/>
        </xdr:cNvCxnSpPr>
      </xdr:nvCxnSpPr>
      <xdr:spPr>
        <a:xfrm>
          <a:off x="4572002" y="1152520"/>
          <a:ext cx="1228723" cy="5"/>
        </a:xfrm>
        <a:prstGeom prst="line">
          <a:avLst/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664883</xdr:colOff>
      <xdr:row>15</xdr:row>
      <xdr:rowOff>29135</xdr:rowOff>
    </xdr:from>
    <xdr:to>
      <xdr:col>4</xdr:col>
      <xdr:colOff>0</xdr:colOff>
      <xdr:row>16</xdr:row>
      <xdr:rowOff>65368</xdr:rowOff>
    </xdr:to>
    <xdr:cxnSp macro="">
      <xdr:nvCxnSpPr>
        <xdr:cNvPr id="55" name="直接箭头连接符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CxnSpPr>
          <a:endCxn id="50" idx="4"/>
        </xdr:cNvCxnSpPr>
      </xdr:nvCxnSpPr>
      <xdr:spPr>
        <a:xfrm flipH="1" flipV="1">
          <a:off x="3150908" y="3200960"/>
          <a:ext cx="20917" cy="226733"/>
        </a:xfrm>
        <a:prstGeom prst="straightConnector1">
          <a:avLst/>
        </a:prstGeom>
        <a:ln w="41275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</xdr:row>
          <xdr:rowOff>28575</xdr:rowOff>
        </xdr:from>
        <xdr:to>
          <xdr:col>8</xdr:col>
          <xdr:colOff>1466850</xdr:colOff>
          <xdr:row>4</xdr:row>
          <xdr:rowOff>85725</xdr:rowOff>
        </xdr:to>
        <xdr:sp macro="" textlink="">
          <xdr:nvSpPr>
            <xdr:cNvPr id="1027" name="RunCmdBt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20"/>
  <sheetViews>
    <sheetView tabSelected="1" workbookViewId="0">
      <selection activeCell="H3" sqref="H3"/>
    </sheetView>
  </sheetViews>
  <sheetFormatPr defaultRowHeight="14.25" x14ac:dyDescent="0.2"/>
  <cols>
    <col min="1" max="1" width="9" style="6"/>
    <col min="2" max="2" width="14.625" style="6" customWidth="1"/>
    <col min="3" max="6" width="9" style="6"/>
    <col min="7" max="7" width="17.875" style="6" customWidth="1"/>
    <col min="8" max="8" width="13.375" style="6" customWidth="1"/>
    <col min="9" max="9" width="24.75" style="9" customWidth="1"/>
    <col min="10" max="16384" width="9" style="6"/>
  </cols>
  <sheetData>
    <row r="1" spans="1:12" ht="22.5" x14ac:dyDescent="0.2">
      <c r="A1" s="16" t="s">
        <v>34</v>
      </c>
      <c r="B1" s="16"/>
      <c r="C1" s="16"/>
      <c r="D1" s="16"/>
      <c r="E1" s="16"/>
      <c r="F1" s="16"/>
      <c r="G1" s="16"/>
      <c r="H1" s="16"/>
      <c r="I1" s="16"/>
      <c r="J1" s="5"/>
      <c r="K1" s="5"/>
      <c r="L1" s="5"/>
    </row>
    <row r="2" spans="1:12" ht="15" x14ac:dyDescent="0.2">
      <c r="B2" s="7" t="s">
        <v>40</v>
      </c>
      <c r="H2" s="8" t="s">
        <v>30</v>
      </c>
    </row>
    <row r="3" spans="1:12" ht="15" x14ac:dyDescent="0.2">
      <c r="B3" s="7">
        <f>'Rankine81-Node'!C2</f>
        <v>8</v>
      </c>
      <c r="G3" s="10" t="s">
        <v>31</v>
      </c>
      <c r="H3" s="11">
        <v>101</v>
      </c>
    </row>
    <row r="4" spans="1:12" x14ac:dyDescent="0.2">
      <c r="I4" s="9" t="s">
        <v>35</v>
      </c>
    </row>
    <row r="6" spans="1:12" ht="15" x14ac:dyDescent="0.2">
      <c r="I6" s="7" t="s">
        <v>32</v>
      </c>
    </row>
    <row r="7" spans="1:12" ht="15" x14ac:dyDescent="0.2">
      <c r="G7" s="7" t="str">
        <f>'Rankine81-Node'!A3</f>
        <v>Outlet Steam of HP</v>
      </c>
      <c r="I7" s="12">
        <f>'Rankine81-Results'!C3</f>
        <v>37.08132409492427</v>
      </c>
    </row>
    <row r="8" spans="1:12" ht="15" x14ac:dyDescent="0.2">
      <c r="G8" s="7">
        <f>'Rankine81-Node'!C3</f>
        <v>8.0000000000000002E-3</v>
      </c>
      <c r="I8" s="7" t="s">
        <v>38</v>
      </c>
    </row>
    <row r="9" spans="1:12" ht="15" x14ac:dyDescent="0.2">
      <c r="C9" s="7" t="s">
        <v>33</v>
      </c>
      <c r="I9" s="12">
        <f>'Rankine81-Results'!C5</f>
        <v>380543.97614406882</v>
      </c>
    </row>
    <row r="10" spans="1:12" ht="15" x14ac:dyDescent="0.2">
      <c r="C10" s="7"/>
    </row>
    <row r="16" spans="1:12" ht="15" x14ac:dyDescent="0.2">
      <c r="B16" s="7" t="s">
        <v>41</v>
      </c>
      <c r="G16" s="7" t="str">
        <f>'Rankine81-Node'!A4</f>
        <v>Condenser Water</v>
      </c>
    </row>
    <row r="17" spans="1:18" ht="15" x14ac:dyDescent="0.2">
      <c r="B17" s="7">
        <f>'Rankine81-Node'!C5</f>
        <v>8</v>
      </c>
      <c r="G17" s="7">
        <f>'Rankine81-Node'!C4</f>
        <v>8.0000000000000002E-3</v>
      </c>
    </row>
    <row r="18" spans="1:18" ht="28.5" x14ac:dyDescent="0.2">
      <c r="A18" s="17" t="s">
        <v>39</v>
      </c>
      <c r="B18" s="17"/>
      <c r="C18" s="17"/>
      <c r="D18" s="17"/>
      <c r="E18" s="17"/>
      <c r="F18" s="17"/>
      <c r="G18" s="17"/>
      <c r="H18" s="17"/>
      <c r="I18" s="13" t="s">
        <v>36</v>
      </c>
      <c r="M18" s="14"/>
      <c r="N18" s="15"/>
      <c r="O18" s="15"/>
      <c r="P18" s="15"/>
      <c r="Q18" s="15"/>
      <c r="R18" s="15"/>
    </row>
    <row r="19" spans="1:18" x14ac:dyDescent="0.2">
      <c r="K19" s="9"/>
      <c r="L19" s="9"/>
      <c r="M19" s="9"/>
    </row>
    <row r="20" spans="1:18" x14ac:dyDescent="0.2">
      <c r="K20" s="9"/>
      <c r="L20" s="9"/>
      <c r="M20" s="9"/>
    </row>
  </sheetData>
  <mergeCells count="2">
    <mergeCell ref="A1:I1"/>
    <mergeCell ref="A18:H18"/>
  </mergeCells>
  <phoneticPr fontId="1" type="noConversion"/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027" r:id="rId3" name="RunCmdBtn">
          <controlPr defaultSize="0" autoFill="0" autoLine="0" r:id="rId4">
            <anchor moveWithCells="1">
              <from>
                <xdr:col>8</xdr:col>
                <xdr:colOff>104775</xdr:colOff>
                <xdr:row>1</xdr:row>
                <xdr:rowOff>28575</xdr:rowOff>
              </from>
              <to>
                <xdr:col>8</xdr:col>
                <xdr:colOff>1466850</xdr:colOff>
                <xdr:row>4</xdr:row>
                <xdr:rowOff>85725</xdr:rowOff>
              </to>
            </anchor>
          </controlPr>
        </control>
      </mc:Choice>
      <mc:Fallback>
        <control shapeId="1027" r:id="rId3" name="RunCmd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5"/>
  <sheetViews>
    <sheetView workbookViewId="0">
      <selection activeCell="C16" sqref="C16"/>
    </sheetView>
  </sheetViews>
  <sheetFormatPr defaultRowHeight="14.25" x14ac:dyDescent="0.2"/>
  <cols>
    <col min="1" max="1" width="25.5" style="2" bestFit="1" customWidth="1"/>
    <col min="2" max="2" width="4.875" style="2" bestFit="1" customWidth="1"/>
    <col min="3" max="4" width="9" style="2"/>
    <col min="5" max="5" width="6.25" style="2" customWidth="1"/>
  </cols>
  <sheetData>
    <row r="1" spans="1:5" s="1" customFormat="1" x14ac:dyDescent="0.2">
      <c r="A1" s="1" t="s">
        <v>0</v>
      </c>
      <c r="B1" s="1" t="s">
        <v>5</v>
      </c>
      <c r="C1" s="1" t="s">
        <v>6</v>
      </c>
      <c r="D1" s="1" t="s">
        <v>7</v>
      </c>
      <c r="E1" s="1" t="s">
        <v>8</v>
      </c>
    </row>
    <row r="2" spans="1:5" x14ac:dyDescent="0.2">
      <c r="A2" s="3" t="s">
        <v>1</v>
      </c>
      <c r="B2" s="2">
        <v>0</v>
      </c>
      <c r="C2" s="2">
        <v>8</v>
      </c>
      <c r="E2" s="2">
        <v>1</v>
      </c>
    </row>
    <row r="3" spans="1:5" x14ac:dyDescent="0.2">
      <c r="A3" s="3" t="s">
        <v>2</v>
      </c>
      <c r="B3" s="2">
        <v>1</v>
      </c>
      <c r="C3" s="2">
        <v>8.0000000000000002E-3</v>
      </c>
    </row>
    <row r="4" spans="1:5" x14ac:dyDescent="0.2">
      <c r="A4" s="3" t="s">
        <v>3</v>
      </c>
      <c r="B4" s="2">
        <v>2</v>
      </c>
      <c r="C4" s="2">
        <v>8.0000000000000002E-3</v>
      </c>
      <c r="E4" s="2">
        <v>0</v>
      </c>
    </row>
    <row r="5" spans="1:5" x14ac:dyDescent="0.2">
      <c r="A5" s="3" t="s">
        <v>4</v>
      </c>
      <c r="B5" s="2">
        <v>3</v>
      </c>
      <c r="C5" s="2">
        <v>8</v>
      </c>
    </row>
  </sheetData>
  <phoneticPr fontId="1" type="noConversion"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5"/>
  <sheetViews>
    <sheetView workbookViewId="0">
      <selection activeCell="G9" sqref="G9"/>
    </sheetView>
  </sheetViews>
  <sheetFormatPr defaultRowHeight="14.25" x14ac:dyDescent="0.2"/>
  <cols>
    <col min="1" max="1" width="13.625" bestFit="1" customWidth="1"/>
    <col min="2" max="2" width="15.875" bestFit="1" customWidth="1"/>
    <col min="3" max="3" width="7.5" bestFit="1" customWidth="1"/>
    <col min="4" max="4" width="8.125" customWidth="1"/>
  </cols>
  <sheetData>
    <row r="1" spans="1:4" s="1" customFormat="1" ht="20.25" customHeight="1" x14ac:dyDescent="0.2">
      <c r="A1" s="1" t="s">
        <v>9</v>
      </c>
      <c r="B1" s="1" t="s">
        <v>10</v>
      </c>
      <c r="C1" s="1" t="s">
        <v>15</v>
      </c>
    </row>
    <row r="2" spans="1:4" x14ac:dyDescent="0.2">
      <c r="A2" s="3" t="s">
        <v>16</v>
      </c>
      <c r="B2" s="2" t="s">
        <v>11</v>
      </c>
      <c r="C2" s="2">
        <v>0</v>
      </c>
      <c r="D2" s="2">
        <v>1</v>
      </c>
    </row>
    <row r="3" spans="1:4" x14ac:dyDescent="0.2">
      <c r="A3" s="3" t="s">
        <v>17</v>
      </c>
      <c r="B3" s="2" t="s">
        <v>12</v>
      </c>
      <c r="C3" s="2">
        <v>1</v>
      </c>
      <c r="D3" s="2">
        <v>2</v>
      </c>
    </row>
    <row r="4" spans="1:4" x14ac:dyDescent="0.2">
      <c r="A4" s="3" t="s">
        <v>18</v>
      </c>
      <c r="B4" s="2" t="s">
        <v>13</v>
      </c>
      <c r="C4" s="2">
        <v>2</v>
      </c>
      <c r="D4" s="2">
        <v>3</v>
      </c>
    </row>
    <row r="5" spans="1:4" x14ac:dyDescent="0.2">
      <c r="A5" s="3" t="s">
        <v>19</v>
      </c>
      <c r="B5" s="2" t="s">
        <v>14</v>
      </c>
      <c r="C5" s="2">
        <v>3</v>
      </c>
      <c r="D5" s="2"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5"/>
  <sheetViews>
    <sheetView workbookViewId="0">
      <selection activeCell="G10" sqref="G10"/>
    </sheetView>
  </sheetViews>
  <sheetFormatPr defaultRowHeight="14.25" x14ac:dyDescent="0.2"/>
  <cols>
    <col min="1" max="1" width="26.125" bestFit="1" customWidth="1"/>
    <col min="2" max="2" width="11.875" customWidth="1"/>
    <col min="3" max="3" width="16.625" customWidth="1"/>
  </cols>
  <sheetData>
    <row r="1" spans="1:4" ht="27" customHeight="1" x14ac:dyDescent="0.2">
      <c r="A1" s="1" t="s">
        <v>20</v>
      </c>
      <c r="B1" s="1" t="s">
        <v>24</v>
      </c>
      <c r="C1" s="1" t="s">
        <v>21</v>
      </c>
      <c r="D1" s="1"/>
    </row>
    <row r="2" spans="1:4" x14ac:dyDescent="0.2">
      <c r="A2" t="s">
        <v>23</v>
      </c>
      <c r="B2" s="4" t="s">
        <v>25</v>
      </c>
      <c r="C2" s="4">
        <v>101</v>
      </c>
    </row>
    <row r="3" spans="1:4" x14ac:dyDescent="0.2">
      <c r="A3" t="s">
        <v>29</v>
      </c>
      <c r="B3" s="4" t="s">
        <v>26</v>
      </c>
      <c r="C3" s="4">
        <v>37.08132409492427</v>
      </c>
    </row>
    <row r="4" spans="1:4" x14ac:dyDescent="0.2">
      <c r="A4" t="s">
        <v>22</v>
      </c>
      <c r="B4" s="4" t="s">
        <v>27</v>
      </c>
      <c r="C4" s="4">
        <v>0.83647440175257415</v>
      </c>
    </row>
    <row r="5" spans="1:4" x14ac:dyDescent="0.2">
      <c r="A5" t="s">
        <v>37</v>
      </c>
      <c r="B5" s="4" t="s">
        <v>28</v>
      </c>
      <c r="C5" s="4">
        <v>380543.97614406882</v>
      </c>
    </row>
  </sheetData>
  <phoneticPr fontId="1" type="noConversion"/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Rankine81</vt:lpstr>
      <vt:lpstr>Rankine81-Node</vt:lpstr>
      <vt:lpstr>Rankine81-Device</vt:lpstr>
      <vt:lpstr>Rankine81-Results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Maohua Cheng</dc:creator>
  <cp:lastModifiedBy>Maohua Cheng</cp:lastModifiedBy>
  <dcterms:created xsi:type="dcterms:W3CDTF">2017-04-06T11:48:57Z</dcterms:created>
  <dcterms:modified xsi:type="dcterms:W3CDTF">2017-04-23T02:51:35Z</dcterms:modified>
</cp:coreProperties>
</file>