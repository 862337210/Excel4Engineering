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cesssimulation\ThermoCycle\ExcelVBA\"/>
    </mc:Choice>
  </mc:AlternateContent>
  <bookViews>
    <workbookView xWindow="0" yWindow="0" windowWidth="20490" windowHeight="7440"/>
  </bookViews>
  <sheets>
    <sheet name="Rankine81" sheetId="1" r:id="rId1"/>
    <sheet name="Rankine81-Node" sheetId="2" r:id="rId2"/>
    <sheet name="Rankine81-Results" sheetId="4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A11" i="1" l="1"/>
  <c r="H10" i="1" l="1"/>
  <c r="B17" i="1" l="1"/>
  <c r="B16" i="1"/>
  <c r="G15" i="1"/>
  <c r="G14" i="1"/>
  <c r="E8" i="1"/>
  <c r="B2" i="1"/>
</calcChain>
</file>

<file path=xl/sharedStrings.xml><?xml version="1.0" encoding="utf-8"?>
<sst xmlns="http://schemas.openxmlformats.org/spreadsheetml/2006/main" count="32" uniqueCount="32">
  <si>
    <t>NAME</t>
    <phoneticPr fontId="1" type="noConversion"/>
  </si>
  <si>
    <t>NID</t>
    <phoneticPr fontId="1" type="noConversion"/>
  </si>
  <si>
    <t>p</t>
    <phoneticPr fontId="1" type="noConversion"/>
  </si>
  <si>
    <t>t</t>
    <phoneticPr fontId="1" type="noConversion"/>
  </si>
  <si>
    <t>x</t>
    <phoneticPr fontId="1" type="noConversion"/>
  </si>
  <si>
    <t>ITEM</t>
    <phoneticPr fontId="1" type="noConversion"/>
  </si>
  <si>
    <t>VALUE</t>
    <phoneticPr fontId="1" type="noConversion"/>
  </si>
  <si>
    <t>The Ideal Rankine Cycle</t>
    <phoneticPr fontId="1" type="noConversion"/>
  </si>
  <si>
    <t>UNIT</t>
    <phoneticPr fontId="1" type="noConversion"/>
  </si>
  <si>
    <t>MW</t>
    <phoneticPr fontId="1" type="noConversion"/>
  </si>
  <si>
    <t>%</t>
    <phoneticPr fontId="1" type="noConversion"/>
  </si>
  <si>
    <t>%</t>
    <phoneticPr fontId="1" type="noConversion"/>
  </si>
  <si>
    <t>kg/h</t>
    <phoneticPr fontId="1" type="noConversion"/>
  </si>
  <si>
    <t>MW</t>
    <phoneticPr fontId="1" type="noConversion"/>
  </si>
  <si>
    <t>kg/h</t>
    <phoneticPr fontId="1" type="noConversion"/>
  </si>
  <si>
    <t>MW</t>
    <phoneticPr fontId="1" type="noConversion"/>
  </si>
  <si>
    <t>POWER(MW)</t>
    <phoneticPr fontId="1" type="noConversion"/>
  </si>
  <si>
    <t xml:space="preserve"> Michael J . Mora. Fundamentals of Engineering Thermodynamics(7th Edition). John Wiley &amp; Sons, Inc. 2011     
Chapter 8 : Vapour Power Systems Example 8.1:Analyzing an Ideal Rankine Cycle  Page 438</t>
    <phoneticPr fontId="1" type="noConversion"/>
  </si>
  <si>
    <t>MainSteam</t>
    <phoneticPr fontId="1" type="noConversion"/>
  </si>
  <si>
    <t>CondensedWater</t>
    <phoneticPr fontId="1" type="noConversion"/>
  </si>
  <si>
    <t>MainFeedWater</t>
    <phoneticPr fontId="1" type="noConversion"/>
  </si>
  <si>
    <t>ExhaustSteamHP</t>
    <phoneticPr fontId="1" type="noConversion"/>
  </si>
  <si>
    <t>NetOutputPower</t>
    <phoneticPr fontId="1" type="noConversion"/>
  </si>
  <si>
    <t>ThermalEfficiency</t>
    <phoneticPr fontId="1" type="noConversion"/>
  </si>
  <si>
    <t xml:space="preserve">BackWorkRratio </t>
    <phoneticPr fontId="1" type="noConversion"/>
  </si>
  <si>
    <t xml:space="preserve">MassFlowRateSteam </t>
    <phoneticPr fontId="1" type="noConversion"/>
  </si>
  <si>
    <t>RateHeatTransferBoilerr</t>
    <phoneticPr fontId="1" type="noConversion"/>
  </si>
  <si>
    <t>MassFlowRateCoolingWater</t>
    <phoneticPr fontId="1" type="noConversion"/>
  </si>
  <si>
    <t xml:space="preserve">RateHeatTransferCondensingSteam </t>
    <phoneticPr fontId="1" type="noConversion"/>
  </si>
  <si>
    <t>Cheng Maohua
cmh@seu.edu.cn</t>
    <phoneticPr fontId="1" type="noConversion"/>
  </si>
  <si>
    <t>PLEASE INPUT：</t>
    <phoneticPr fontId="1" type="noConversion"/>
  </si>
  <si>
    <t>Efficiency(%)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</si>
</sst>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 "/>
    <numFmt numFmtId="177" formatCode="0.00_);[Red]\(0.00\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4"/>
      <color theme="1"/>
      <name val="Arial Black"/>
      <family val="2"/>
    </font>
    <font>
      <b/>
      <sz val="11"/>
      <color theme="1"/>
      <name val="Arial"/>
      <family val="2"/>
    </font>
    <font>
      <b/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 indent="2"/>
    </xf>
    <xf numFmtId="0" fontId="2" fillId="0" borderId="0" xfId="0" applyFont="1" applyAlignment="1">
      <alignment horizontal="center" vertical="center"/>
    </xf>
    <xf numFmtId="177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5" borderId="0" xfId="0" applyFont="1" applyFill="1" applyBorder="1">
      <alignment vertical="center"/>
    </xf>
    <xf numFmtId="176" fontId="4" fillId="5" borderId="0" xfId="0" applyNumberFormat="1" applyFont="1" applyFill="1" applyBorder="1">
      <alignment vertical="center"/>
    </xf>
    <xf numFmtId="0" fontId="4" fillId="5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4" borderId="0" xfId="0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522941</xdr:colOff>
      <xdr:row>3</xdr:row>
      <xdr:rowOff>130735</xdr:rowOff>
    </xdr:from>
    <xdr:to>
      <xdr:col>6</xdr:col>
      <xdr:colOff>112059</xdr:colOff>
      <xdr:row>4</xdr:row>
      <xdr:rowOff>77815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 flipV="1">
          <a:off x="2315882" y="943161"/>
          <a:ext cx="2315883" cy="124507"/>
        </a:xfrm>
        <a:prstGeom prst="rect">
          <a:avLst/>
        </a:prstGeom>
        <a:gradFill rotWithShape="1">
          <a:gsLst>
            <a:gs pos="0">
              <a:srgbClr val="767676"/>
            </a:gs>
            <a:gs pos="50000">
              <a:srgbClr val="FFFFFF"/>
            </a:gs>
            <a:gs pos="100000">
              <a:srgbClr val="767676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466911</xdr:colOff>
      <xdr:row>6</xdr:row>
      <xdr:rowOff>177427</xdr:rowOff>
    </xdr:from>
    <xdr:to>
      <xdr:col>2</xdr:col>
      <xdr:colOff>75452</xdr:colOff>
      <xdr:row>11</xdr:row>
      <xdr:rowOff>95250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48602" y="1531471"/>
          <a:ext cx="719791" cy="8329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>
            <a:ln>
              <a:solidFill>
                <a:srgbClr val="FFFF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3</xdr:col>
      <xdr:colOff>609600</xdr:colOff>
      <xdr:row>6</xdr:row>
      <xdr:rowOff>114300</xdr:rowOff>
    </xdr:from>
    <xdr:ext cx="184731" cy="264560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572000" y="161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>
    <xdr:from>
      <xdr:col>1</xdr:col>
      <xdr:colOff>826807</xdr:colOff>
      <xdr:row>2</xdr:row>
      <xdr:rowOff>38101</xdr:rowOff>
    </xdr:from>
    <xdr:to>
      <xdr:col>3</xdr:col>
      <xdr:colOff>38106</xdr:colOff>
      <xdr:row>6</xdr:row>
      <xdr:rowOff>177427</xdr:rowOff>
    </xdr:to>
    <xdr:cxnSp macro="">
      <xdr:nvCxnSpPr>
        <xdr:cNvPr id="5" name="连接符: 肘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>
          <a:stCxn id="2" idx="0"/>
        </xdr:cNvCxnSpPr>
      </xdr:nvCxnSpPr>
      <xdr:spPr>
        <a:xfrm rot="5400000" flipH="1" flipV="1">
          <a:off x="1576764" y="595497"/>
          <a:ext cx="867708" cy="1004240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130735</xdr:colOff>
      <xdr:row>7</xdr:row>
      <xdr:rowOff>28015</xdr:rowOff>
    </xdr:from>
    <xdr:to>
      <xdr:col>6</xdr:col>
      <xdr:colOff>144742</xdr:colOff>
      <xdr:row>8</xdr:row>
      <xdr:rowOff>28013</xdr:rowOff>
    </xdr:to>
    <xdr:cxnSp macro="">
      <xdr:nvCxnSpPr>
        <xdr:cNvPr id="31" name="连接符: 肘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>
          <a:endCxn id="32" idx="0"/>
        </xdr:cNvCxnSpPr>
      </xdr:nvCxnSpPr>
      <xdr:spPr>
        <a:xfrm>
          <a:off x="3968750" y="1568824"/>
          <a:ext cx="695698" cy="186763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401543</xdr:colOff>
      <xdr:row>8</xdr:row>
      <xdr:rowOff>28013</xdr:rowOff>
    </xdr:from>
    <xdr:to>
      <xdr:col>6</xdr:col>
      <xdr:colOff>569632</xdr:colOff>
      <xdr:row>12</xdr:row>
      <xdr:rowOff>46690</xdr:rowOff>
    </xdr:to>
    <xdr:sp macro="" textlink="">
      <xdr:nvSpPr>
        <xdr:cNvPr id="32" name="矩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4239558" y="1755587"/>
          <a:ext cx="849780" cy="73772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167849</xdr:colOff>
      <xdr:row>12</xdr:row>
      <xdr:rowOff>46689</xdr:rowOff>
    </xdr:from>
    <xdr:to>
      <xdr:col>6</xdr:col>
      <xdr:colOff>144743</xdr:colOff>
      <xdr:row>14</xdr:row>
      <xdr:rowOff>88139</xdr:rowOff>
    </xdr:to>
    <xdr:cxnSp macro="">
      <xdr:nvCxnSpPr>
        <xdr:cNvPr id="38" name="连接符: 肘形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>
          <a:stCxn id="32" idx="2"/>
          <a:endCxn id="22" idx="5"/>
        </xdr:cNvCxnSpPr>
      </xdr:nvCxnSpPr>
      <xdr:spPr>
        <a:xfrm rot="5400000">
          <a:off x="3791490" y="2025990"/>
          <a:ext cx="405641" cy="1340276"/>
        </a:xfrm>
        <a:prstGeom prst="bentConnector3">
          <a:avLst>
            <a:gd name="adj1" fmla="val 17548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826808</xdr:colOff>
      <xdr:row>11</xdr:row>
      <xdr:rowOff>95251</xdr:rowOff>
    </xdr:from>
    <xdr:to>
      <xdr:col>3</xdr:col>
      <xdr:colOff>361218</xdr:colOff>
      <xdr:row>12</xdr:row>
      <xdr:rowOff>53429</xdr:rowOff>
    </xdr:to>
    <xdr:cxnSp macro="">
      <xdr:nvCxnSpPr>
        <xdr:cNvPr id="40" name="连接符: 肘形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endCxn id="2" idx="2"/>
        </xdr:cNvCxnSpPr>
      </xdr:nvCxnSpPr>
      <xdr:spPr>
        <a:xfrm rot="10800000">
          <a:off x="1508499" y="2364442"/>
          <a:ext cx="1327351" cy="13560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1347695</xdr:colOff>
          <xdr:row>3</xdr:row>
          <xdr:rowOff>121397</xdr:rowOff>
        </xdr:from>
        <xdr:to>
          <xdr:col>7</xdr:col>
          <xdr:colOff>1008531</xdr:colOff>
          <xdr:row>7</xdr:row>
          <xdr:rowOff>19797</xdr:rowOff>
        </xdr:to>
        <xdr:sp macro="" textlink="">
          <xdr:nvSpPr>
            <xdr:cNvPr id="1026" name="SimCmd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539377</xdr:colOff>
      <xdr:row>9</xdr:row>
      <xdr:rowOff>18677</xdr:rowOff>
    </xdr:from>
    <xdr:to>
      <xdr:col>6</xdr:col>
      <xdr:colOff>1045883</xdr:colOff>
      <xdr:row>9</xdr:row>
      <xdr:rowOff>31001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5059083" y="1923677"/>
          <a:ext cx="506506" cy="12324"/>
        </a:xfrm>
        <a:prstGeom prst="straightConnector1">
          <a:avLst/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558986</xdr:colOff>
      <xdr:row>11</xdr:row>
      <xdr:rowOff>37353</xdr:rowOff>
    </xdr:from>
    <xdr:to>
      <xdr:col>6</xdr:col>
      <xdr:colOff>1045882</xdr:colOff>
      <xdr:row>11</xdr:row>
      <xdr:rowOff>39968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5078692" y="2306544"/>
          <a:ext cx="486896" cy="2615"/>
        </a:xfrm>
        <a:prstGeom prst="straightConnector1">
          <a:avLst/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18676</xdr:colOff>
      <xdr:row>1</xdr:row>
      <xdr:rowOff>18678</xdr:rowOff>
    </xdr:from>
    <xdr:to>
      <xdr:col>5</xdr:col>
      <xdr:colOff>149411</xdr:colOff>
      <xdr:row>7</xdr:row>
      <xdr:rowOff>18676</xdr:rowOff>
    </xdr:to>
    <xdr:sp macro="" textlink="">
      <xdr:nvSpPr>
        <xdr:cNvPr id="21" name="AutoShape 17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 rot="5400000">
          <a:off x="2689412" y="261471"/>
          <a:ext cx="1101910" cy="1494118"/>
        </a:xfrm>
        <a:prstGeom prst="flowChartManualOperation">
          <a:avLst/>
        </a:prstGeom>
        <a:gradFill rotWithShape="1">
          <a:gsLst>
            <a:gs pos="0">
              <a:srgbClr val="FFFFFF"/>
            </a:gs>
            <a:gs pos="100000">
              <a:srgbClr val="393939"/>
            </a:gs>
          </a:gsLst>
          <a:lin ang="5400000" scaled="1"/>
        </a:gra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261471</xdr:colOff>
      <xdr:row>12</xdr:row>
      <xdr:rowOff>1</xdr:rowOff>
    </xdr:from>
    <xdr:to>
      <xdr:col>4</xdr:col>
      <xdr:colOff>268745</xdr:colOff>
      <xdr:row>14</xdr:row>
      <xdr:rowOff>165748</xdr:rowOff>
    </xdr:to>
    <xdr:sp macro="" textlink="">
      <xdr:nvSpPr>
        <xdr:cNvPr id="22" name="Oval 7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2736103" y="2586692"/>
          <a:ext cx="688966" cy="520600"/>
        </a:xfrm>
        <a:prstGeom prst="ellipse">
          <a:avLst/>
        </a:prstGeom>
        <a:gradFill rotWithShape="1">
          <a:gsLst>
            <a:gs pos="0">
              <a:srgbClr val="FFFFFF"/>
            </a:gs>
            <a:gs pos="100000">
              <a:srgbClr val="767676"/>
            </a:gs>
          </a:gsLst>
          <a:path path="rect">
            <a:fillToRect l="100000" t="100000"/>
          </a:path>
        </a:gradFill>
        <a:ln w="19050">
          <a:solidFill>
            <a:srgbClr val="808080"/>
          </a:solidFill>
          <a:round/>
          <a:headEnd/>
          <a:tailEnd/>
        </a:ln>
      </xdr:spPr>
    </xdr:sp>
    <xdr:clientData/>
  </xdr:twoCellAnchor>
  <xdr:twoCellAnchor>
    <xdr:from>
      <xdr:col>3</xdr:col>
      <xdr:colOff>504266</xdr:colOff>
      <xdr:row>14</xdr:row>
      <xdr:rowOff>155447</xdr:rowOff>
    </xdr:from>
    <xdr:to>
      <xdr:col>3</xdr:col>
      <xdr:colOff>650516</xdr:colOff>
      <xdr:row>16</xdr:row>
      <xdr:rowOff>102722</xdr:rowOff>
    </xdr:to>
    <xdr:sp macro="" textlink="">
      <xdr:nvSpPr>
        <xdr:cNvPr id="23" name="AutoShape 9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 rot="16200000">
          <a:off x="2896290" y="3179599"/>
          <a:ext cx="311466" cy="146250"/>
        </a:xfrm>
        <a:prstGeom prst="rightArrow">
          <a:avLst>
            <a:gd name="adj1" fmla="val 50000"/>
            <a:gd name="adj2" fmla="val 9218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382868</xdr:colOff>
      <xdr:row>12</xdr:row>
      <xdr:rowOff>112059</xdr:rowOff>
    </xdr:from>
    <xdr:to>
      <xdr:col>4</xdr:col>
      <xdr:colOff>207136</xdr:colOff>
      <xdr:row>14</xdr:row>
      <xdr:rowOff>43095</xdr:rowOff>
    </xdr:to>
    <xdr:sp macro="" textlink="">
      <xdr:nvSpPr>
        <xdr:cNvPr id="25" name="Text Box 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2857500" y="2698750"/>
          <a:ext cx="505960" cy="2858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Pump</a:t>
          </a:r>
        </a:p>
      </xdr:txBody>
    </xdr:sp>
    <xdr:clientData/>
  </xdr:twoCellAnchor>
  <xdr:twoCellAnchor>
    <xdr:from>
      <xdr:col>3</xdr:col>
      <xdr:colOff>616322</xdr:colOff>
      <xdr:row>3</xdr:row>
      <xdr:rowOff>93383</xdr:rowOff>
    </xdr:from>
    <xdr:to>
      <xdr:col>4</xdr:col>
      <xdr:colOff>591301</xdr:colOff>
      <xdr:row>4</xdr:row>
      <xdr:rowOff>175043</xdr:rowOff>
    </xdr:to>
    <xdr:sp macro="" textlink="">
      <xdr:nvSpPr>
        <xdr:cNvPr id="26" name="Text Box 18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3090954" y="905809"/>
          <a:ext cx="656671" cy="2590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Turbine</a:t>
          </a:r>
        </a:p>
      </xdr:txBody>
    </xdr:sp>
    <xdr:clientData/>
  </xdr:twoCellAnchor>
  <xdr:twoCellAnchor>
    <xdr:from>
      <xdr:col>6</xdr:col>
      <xdr:colOff>242794</xdr:colOff>
      <xdr:row>3</xdr:row>
      <xdr:rowOff>0</xdr:rowOff>
    </xdr:from>
    <xdr:to>
      <xdr:col>6</xdr:col>
      <xdr:colOff>877935</xdr:colOff>
      <xdr:row>3</xdr:row>
      <xdr:rowOff>142945</xdr:rowOff>
    </xdr:to>
    <xdr:sp macro="" textlink="">
      <xdr:nvSpPr>
        <xdr:cNvPr id="34" name="AutoShape 2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rrowheads="1"/>
        </xdr:cNvSpPr>
      </xdr:nvSpPr>
      <xdr:spPr bwMode="auto">
        <a:xfrm>
          <a:off x="4762500" y="943162"/>
          <a:ext cx="635141" cy="142945"/>
        </a:xfrm>
        <a:prstGeom prst="rightArrow">
          <a:avLst>
            <a:gd name="adj1" fmla="val 50000"/>
            <a:gd name="adj2" fmla="val 9218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78089</xdr:colOff>
      <xdr:row>7</xdr:row>
      <xdr:rowOff>164705</xdr:rowOff>
    </xdr:from>
    <xdr:to>
      <xdr:col>1</xdr:col>
      <xdr:colOff>471186</xdr:colOff>
      <xdr:row>9</xdr:row>
      <xdr:rowOff>60303</xdr:rowOff>
    </xdr:to>
    <xdr:sp macro="" textlink="">
      <xdr:nvSpPr>
        <xdr:cNvPr id="37" name="AutoShape 3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 rot="16200000">
          <a:off x="826434" y="1638860"/>
          <a:ext cx="259789" cy="393097"/>
        </a:xfrm>
        <a:prstGeom prst="downArrow">
          <a:avLst>
            <a:gd name="adj1" fmla="val 50000"/>
            <a:gd name="adj2" fmla="val 44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140074</xdr:colOff>
      <xdr:row>6</xdr:row>
      <xdr:rowOff>84044</xdr:rowOff>
    </xdr:from>
    <xdr:to>
      <xdr:col>1</xdr:col>
      <xdr:colOff>452262</xdr:colOff>
      <xdr:row>8</xdr:row>
      <xdr:rowOff>5337</xdr:rowOff>
    </xdr:to>
    <xdr:pic>
      <xdr:nvPicPr>
        <xdr:cNvPr id="42" name="Picture 34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765" y="1438088"/>
          <a:ext cx="312188" cy="2948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"/>
  <sheetViews>
    <sheetView tabSelected="1" zoomScale="102" zoomScaleNormal="102" zoomScaleSheetLayoutView="100" workbookViewId="0">
      <selection activeCell="G18" sqref="G18"/>
    </sheetView>
  </sheetViews>
  <sheetFormatPr defaultRowHeight="14.25" x14ac:dyDescent="0.2"/>
  <cols>
    <col min="1" max="1" width="9" style="8" customWidth="1"/>
    <col min="2" max="2" width="14.625" style="8" customWidth="1"/>
    <col min="3" max="6" width="9" style="8"/>
    <col min="7" max="7" width="17.875" style="8" bestFit="1" customWidth="1"/>
    <col min="8" max="8" width="13.375" style="8" bestFit="1" customWidth="1"/>
    <col min="9" max="9" width="20.375" style="9" bestFit="1" customWidth="1"/>
    <col min="10" max="16384" width="9" style="8"/>
  </cols>
  <sheetData>
    <row r="1" spans="1:12" ht="34.5" customHeight="1" x14ac:dyDescent="0.2">
      <c r="A1" s="20" t="s">
        <v>7</v>
      </c>
      <c r="B1" s="20"/>
      <c r="C1" s="20"/>
      <c r="D1" s="17"/>
      <c r="E1" s="17"/>
      <c r="F1" s="17"/>
      <c r="G1" s="17"/>
      <c r="H1" s="17"/>
      <c r="I1" s="21" t="s">
        <v>17</v>
      </c>
      <c r="J1" s="21"/>
      <c r="K1" s="21"/>
      <c r="L1" s="21"/>
    </row>
    <row r="2" spans="1:12" ht="15" x14ac:dyDescent="0.2">
      <c r="B2" s="15" t="str">
        <f>'Rankine81-Node'!A2</f>
        <v>MainSteam</v>
      </c>
      <c r="H2" s="12" t="s">
        <v>16</v>
      </c>
      <c r="I2" s="21"/>
      <c r="J2" s="21"/>
      <c r="K2" s="21"/>
      <c r="L2" s="21"/>
    </row>
    <row r="3" spans="1:12" ht="15" x14ac:dyDescent="0.2">
      <c r="B3" s="15">
        <f>'Rankine81-Node'!C2</f>
        <v>8</v>
      </c>
      <c r="G3" s="16" t="s">
        <v>30</v>
      </c>
      <c r="H3" s="7">
        <v>100</v>
      </c>
      <c r="I3" s="21"/>
      <c r="J3" s="21"/>
      <c r="K3" s="21"/>
      <c r="L3" s="21"/>
    </row>
    <row r="4" spans="1:12" x14ac:dyDescent="0.2">
      <c r="I4" s="21"/>
      <c r="J4" s="21"/>
      <c r="K4" s="21"/>
      <c r="L4" s="21"/>
    </row>
    <row r="5" spans="1:12" x14ac:dyDescent="0.2">
      <c r="I5" s="21"/>
      <c r="J5" s="21"/>
      <c r="K5" s="21"/>
      <c r="L5" s="21"/>
    </row>
    <row r="6" spans="1:12" x14ac:dyDescent="0.2">
      <c r="I6" s="8"/>
    </row>
    <row r="7" spans="1:12" x14ac:dyDescent="0.2">
      <c r="I7" s="8"/>
    </row>
    <row r="8" spans="1:12" ht="15" x14ac:dyDescent="0.2">
      <c r="E8" s="15">
        <f>'Rankine81-Node'!C3</f>
        <v>8.0000000000000002E-3</v>
      </c>
    </row>
    <row r="9" spans="1:12" ht="15" customHeight="1" x14ac:dyDescent="0.2">
      <c r="H9" s="13" t="s">
        <v>31</v>
      </c>
      <c r="I9" s="19" t="s">
        <v>29</v>
      </c>
      <c r="J9" s="19"/>
      <c r="K9" s="19"/>
      <c r="L9" s="19"/>
    </row>
    <row r="10" spans="1:12" ht="15" x14ac:dyDescent="0.2">
      <c r="H10" s="14">
        <f>'Rankine81-Results'!C3</f>
        <v>37.081324094924213</v>
      </c>
      <c r="I10" s="19"/>
      <c r="J10" s="19"/>
      <c r="K10" s="19"/>
      <c r="L10" s="19"/>
    </row>
    <row r="11" spans="1:12" ht="15" x14ac:dyDescent="0.2">
      <c r="A11" s="18">
        <f>'Rankine81-Results'!C6</f>
        <v>269.67753293817316</v>
      </c>
    </row>
    <row r="14" spans="1:12" ht="15" x14ac:dyDescent="0.2">
      <c r="G14" s="15" t="str">
        <f>'Rankine81-Node'!A4</f>
        <v>CondensedWater</v>
      </c>
    </row>
    <row r="15" spans="1:12" ht="15" x14ac:dyDescent="0.2">
      <c r="G15" s="15">
        <f>'Rankine81-Node'!C4</f>
        <v>8.0000000000000002E-3</v>
      </c>
    </row>
    <row r="16" spans="1:12" ht="15" x14ac:dyDescent="0.2">
      <c r="B16" s="15" t="str">
        <f>'Rankine81-Node'!A5</f>
        <v>MainFeedWater</v>
      </c>
    </row>
    <row r="17" spans="2:18" ht="18" customHeight="1" x14ac:dyDescent="0.2">
      <c r="B17" s="15">
        <f>'Rankine81-Node'!C5</f>
        <v>8</v>
      </c>
    </row>
    <row r="18" spans="2:18" ht="40.5" customHeight="1" x14ac:dyDescent="0.2">
      <c r="M18" s="11"/>
      <c r="N18" s="10"/>
      <c r="O18" s="10"/>
      <c r="P18" s="10"/>
      <c r="Q18" s="10"/>
      <c r="R18" s="10"/>
    </row>
    <row r="19" spans="2:18" x14ac:dyDescent="0.2">
      <c r="K19" s="9"/>
      <c r="L19" s="9"/>
      <c r="M19" s="9"/>
    </row>
    <row r="20" spans="2:18" x14ac:dyDescent="0.2">
      <c r="K20" s="9"/>
      <c r="L20" s="9"/>
      <c r="M20" s="9"/>
    </row>
  </sheetData>
  <mergeCells count="3">
    <mergeCell ref="A1:C1"/>
    <mergeCell ref="I1:L5"/>
    <mergeCell ref="I9:L10"/>
  </mergeCells>
  <phoneticPr fontId="1" type="noConversion"/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026" r:id="rId3" name="SimCmdBtn">
          <controlPr defaultSize="0" autoFill="0" autoLine="0" autoPict="0" r:id="rId4">
            <anchor moveWithCells="1">
              <from>
                <xdr:col>6</xdr:col>
                <xdr:colOff>1343025</xdr:colOff>
                <xdr:row>3</xdr:row>
                <xdr:rowOff>123825</xdr:rowOff>
              </from>
              <to>
                <xdr:col>7</xdr:col>
                <xdr:colOff>1009650</xdr:colOff>
                <xdr:row>7</xdr:row>
                <xdr:rowOff>19050</xdr:rowOff>
              </to>
            </anchor>
          </controlPr>
        </control>
      </mc:Choice>
      <mc:Fallback>
        <control shapeId="1026" r:id="rId3" name="Sim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"/>
  <sheetViews>
    <sheetView workbookViewId="0">
      <selection activeCell="A12" sqref="A12"/>
    </sheetView>
  </sheetViews>
  <sheetFormatPr defaultRowHeight="14.25" x14ac:dyDescent="0.2"/>
  <cols>
    <col min="1" max="1" width="25.5" style="2" bestFit="1" customWidth="1"/>
    <col min="2" max="2" width="4.875" style="2" bestFit="1" customWidth="1"/>
    <col min="3" max="4" width="9" style="2"/>
    <col min="5" max="5" width="6.25" style="2" customWidth="1"/>
  </cols>
  <sheetData>
    <row r="1" spans="1:5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3" t="s">
        <v>18</v>
      </c>
      <c r="B2" s="2">
        <v>0</v>
      </c>
      <c r="C2" s="2">
        <v>8</v>
      </c>
      <c r="E2" s="2">
        <v>1</v>
      </c>
    </row>
    <row r="3" spans="1:5" x14ac:dyDescent="0.2">
      <c r="A3" s="3" t="s">
        <v>21</v>
      </c>
      <c r="B3" s="2">
        <v>1</v>
      </c>
      <c r="C3" s="2">
        <v>8.0000000000000002E-3</v>
      </c>
    </row>
    <row r="4" spans="1:5" x14ac:dyDescent="0.2">
      <c r="A4" s="3" t="s">
        <v>19</v>
      </c>
      <c r="B4" s="2">
        <v>2</v>
      </c>
      <c r="C4" s="2">
        <v>8.0000000000000002E-3</v>
      </c>
      <c r="E4" s="2">
        <v>0</v>
      </c>
    </row>
    <row r="5" spans="1:5" x14ac:dyDescent="0.2">
      <c r="A5" s="3" t="s">
        <v>20</v>
      </c>
      <c r="B5" s="2">
        <v>3</v>
      </c>
      <c r="C5" s="2">
        <v>8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>
      <selection activeCell="B12" sqref="B12"/>
    </sheetView>
  </sheetViews>
  <sheetFormatPr defaultRowHeight="14.25" x14ac:dyDescent="0.2"/>
  <cols>
    <col min="1" max="1" width="33.25" bestFit="1" customWidth="1"/>
    <col min="2" max="2" width="10.25" style="2" customWidth="1"/>
    <col min="3" max="3" width="16.625" customWidth="1"/>
  </cols>
  <sheetData>
    <row r="1" spans="1:4" ht="27" customHeight="1" x14ac:dyDescent="0.2">
      <c r="A1" s="1" t="s">
        <v>5</v>
      </c>
      <c r="B1" s="4" t="s">
        <v>8</v>
      </c>
      <c r="C1" s="1" t="s">
        <v>6</v>
      </c>
      <c r="D1" s="1"/>
    </row>
    <row r="2" spans="1:4" x14ac:dyDescent="0.2">
      <c r="A2" t="s">
        <v>22</v>
      </c>
      <c r="B2" s="6" t="s">
        <v>9</v>
      </c>
      <c r="C2" s="5">
        <v>100</v>
      </c>
    </row>
    <row r="3" spans="1:4" x14ac:dyDescent="0.2">
      <c r="A3" t="s">
        <v>23</v>
      </c>
      <c r="B3" s="6" t="s">
        <v>10</v>
      </c>
      <c r="C3" s="5">
        <v>37.081324094924213</v>
      </c>
    </row>
    <row r="4" spans="1:4" x14ac:dyDescent="0.2">
      <c r="A4" t="s">
        <v>24</v>
      </c>
      <c r="B4" s="6" t="s">
        <v>11</v>
      </c>
      <c r="C4" s="5">
        <v>0.83647440175257204</v>
      </c>
    </row>
    <row r="5" spans="1:4" x14ac:dyDescent="0.2">
      <c r="A5" t="s">
        <v>25</v>
      </c>
      <c r="B5" s="6" t="s">
        <v>12</v>
      </c>
      <c r="C5" s="5">
        <v>376776.2140040276</v>
      </c>
    </row>
    <row r="6" spans="1:4" x14ac:dyDescent="0.2">
      <c r="A6" t="s">
        <v>26</v>
      </c>
      <c r="B6" s="6" t="s">
        <v>13</v>
      </c>
      <c r="C6" s="5">
        <v>269.67753293817316</v>
      </c>
    </row>
    <row r="7" spans="1:4" x14ac:dyDescent="0.2">
      <c r="A7" t="s">
        <v>28</v>
      </c>
      <c r="B7" s="6" t="s">
        <v>15</v>
      </c>
      <c r="C7" s="5">
        <v>169.67753293817319</v>
      </c>
    </row>
    <row r="8" spans="1:4" x14ac:dyDescent="0.2">
      <c r="A8" t="s">
        <v>27</v>
      </c>
      <c r="B8" s="6" t="s">
        <v>14</v>
      </c>
      <c r="C8" s="5">
        <v>7301347.421448553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Rankine81</vt:lpstr>
      <vt:lpstr>Rankine81-Node</vt:lpstr>
      <vt:lpstr>Rankine81-Results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2017-04-06T11:48:57Z</dcterms:created>
  <dcterms:modified xsi:type="dcterms:W3CDTF">2017-04-26T17:36:24Z</dcterms:modified>
</cp:coreProperties>
</file>